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08AE69E-F015-480F-A586-F16BD5F98FF0}" xr6:coauthVersionLast="47" xr6:coauthVersionMax="47" xr10:uidLastSave="{00000000-0000-0000-0000-000000000000}"/>
  <bookViews>
    <workbookView xWindow="-120" yWindow="-120" windowWidth="29040" windowHeight="15840" xr2:uid="{6B0B2DBA-C732-4005-9CAF-2D5ED9C69250}"/>
  </bookViews>
  <sheets>
    <sheet name="50K" sheetId="1" r:id="rId1"/>
  </sheets>
  <definedNames>
    <definedName name="_xlnm._FilterDatabase" localSheetId="0" hidden="1">'50K'!$A$3:$AG$15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V10" i="1"/>
  <c r="X10" i="1"/>
  <c r="AD10" i="1"/>
  <c r="N11" i="1"/>
  <c r="V11" i="1"/>
  <c r="X11" i="1"/>
  <c r="AD11" i="1"/>
  <c r="N12" i="1"/>
  <c r="V12" i="1"/>
  <c r="X12" i="1"/>
  <c r="AD12" i="1"/>
  <c r="N13" i="1"/>
  <c r="V13" i="1"/>
  <c r="X13" i="1"/>
  <c r="AD13" i="1"/>
  <c r="N14" i="1"/>
  <c r="V14" i="1"/>
  <c r="X14" i="1"/>
  <c r="AD14" i="1"/>
  <c r="N15" i="1"/>
  <c r="V15" i="1"/>
  <c r="X15" i="1"/>
  <c r="AD15" i="1"/>
  <c r="U9" i="1"/>
  <c r="N9" i="1"/>
  <c r="V8" i="1"/>
  <c r="Q8" i="1"/>
  <c r="N8" i="1"/>
  <c r="V7" i="1"/>
  <c r="Q7" i="1"/>
  <c r="N7" i="1"/>
  <c r="V6" i="1"/>
  <c r="Q6" i="1"/>
  <c r="N6" i="1"/>
  <c r="V5" i="1"/>
  <c r="Q5" i="1"/>
  <c r="N5" i="1"/>
  <c r="V4" i="1"/>
  <c r="Q4" i="1"/>
  <c r="N4" i="1"/>
  <c r="U1" i="1"/>
  <c r="Q10" i="1" l="1"/>
  <c r="Q11" i="1"/>
  <c r="Q12" i="1"/>
  <c r="Q13" i="1"/>
  <c r="Q14" i="1"/>
  <c r="Q15" i="1"/>
  <c r="N1" i="1"/>
  <c r="V9" i="1"/>
  <c r="AD8" i="1"/>
  <c r="X8" i="1"/>
  <c r="AD7" i="1"/>
  <c r="X7" i="1"/>
  <c r="AD6" i="1"/>
  <c r="X6" i="1"/>
  <c r="AD5" i="1"/>
  <c r="X5" i="1"/>
  <c r="AD4" i="1"/>
  <c r="X4" i="1"/>
  <c r="X9" i="1" l="1"/>
  <c r="AD9" i="1"/>
  <c r="AD1" i="1" s="1"/>
  <c r="V1" i="1"/>
  <c r="Q9" i="1"/>
</calcChain>
</file>

<file path=xl/sharedStrings.xml><?xml version="1.0" encoding="utf-8"?>
<sst xmlns="http://schemas.openxmlformats.org/spreadsheetml/2006/main" count="254" uniqueCount="78">
  <si>
    <t>Arrival date</t>
  </si>
  <si>
    <t>Origin</t>
  </si>
  <si>
    <t>PO No.</t>
  </si>
  <si>
    <t xml:space="preserve">Factory Style No </t>
  </si>
  <si>
    <t>Supplier Name</t>
  </si>
  <si>
    <t>Brand</t>
  </si>
  <si>
    <t>Item Code</t>
  </si>
  <si>
    <t>Item Name</t>
  </si>
  <si>
    <t>Using position</t>
  </si>
  <si>
    <t>Color</t>
  </si>
  <si>
    <t xml:space="preserve"> fabric width</t>
  </si>
  <si>
    <t>Unit (fabric width)</t>
  </si>
  <si>
    <t>Weight (g/m2)</t>
  </si>
  <si>
    <t>PO Quantity</t>
  </si>
  <si>
    <t>PO Unit Qty)</t>
  </si>
  <si>
    <t>Price</t>
  </si>
  <si>
    <t xml:space="preserve">Amount </t>
  </si>
  <si>
    <t>Currency</t>
  </si>
  <si>
    <t>Lot No.</t>
  </si>
  <si>
    <t>Roll No.</t>
  </si>
  <si>
    <t>PL quantity</t>
  </si>
  <si>
    <t>Arrived quantity</t>
  </si>
  <si>
    <t>Unit  (Qty)</t>
  </si>
  <si>
    <t>Compare PL&amp; arrived qty</t>
  </si>
  <si>
    <t>CD No.</t>
  </si>
  <si>
    <t>Invoice No.</t>
  </si>
  <si>
    <t>Doc No (container No, seal No, Bill No)</t>
  </si>
  <si>
    <t>Customs Code (Shipping)</t>
  </si>
  <si>
    <t>Customs Code (Warehouse)</t>
  </si>
  <si>
    <t>Customs Qty</t>
  </si>
  <si>
    <t>Customs Unit</t>
  </si>
  <si>
    <t>Ngày hàng về</t>
  </si>
  <si>
    <t>Xuất xứ</t>
  </si>
  <si>
    <t>Số PO</t>
  </si>
  <si>
    <t>Mã hàng</t>
  </si>
  <si>
    <t>Tên nhà
cung cấp</t>
  </si>
  <si>
    <t>Nhãn hiệu</t>
  </si>
  <si>
    <t>Code vải</t>
  </si>
  <si>
    <t>Tên vải</t>
  </si>
  <si>
    <t>Vị trí sử dụng</t>
  </si>
  <si>
    <t>Màu sắc</t>
  </si>
  <si>
    <t>Khổ vải theo</t>
  </si>
  <si>
    <t>Đơn vị khổ vải</t>
  </si>
  <si>
    <t>Trọng lượng theo PO (g/m2)</t>
  </si>
  <si>
    <t>Số lượng PO</t>
  </si>
  <si>
    <t>Đơn vị PO</t>
  </si>
  <si>
    <t>Đơn giá</t>
  </si>
  <si>
    <t xml:space="preserve">Thành tiền </t>
  </si>
  <si>
    <t>Loại tiền tệ</t>
  </si>
  <si>
    <t>Số Lot</t>
  </si>
  <si>
    <t>Số cây</t>
  </si>
  <si>
    <t>Số lượng PL</t>
  </si>
  <si>
    <t>Số lượng hàng về</t>
  </si>
  <si>
    <t>Đơn vị PL</t>
  </si>
  <si>
    <t>Số lượng chênh lệch</t>
  </si>
  <si>
    <t>Số tờ khai hải quan</t>
  </si>
  <si>
    <t>Số hóa đơn</t>
  </si>
  <si>
    <t>Số chứng từ
(số công/chì, bill)</t>
  </si>
  <si>
    <t>Mã hải quan (XNK)</t>
  </si>
  <si>
    <t>Mã hải quan (Kho)</t>
  </si>
  <si>
    <t>Số lượng hải quan</t>
  </si>
  <si>
    <t>Đơn vị tính hải quan</t>
  </si>
  <si>
    <t>GCNKC</t>
  </si>
  <si>
    <t>POVNC26-00012</t>
  </si>
  <si>
    <t>H10-23318E1</t>
  </si>
  <si>
    <t>嘉颐针织有限公司</t>
  </si>
  <si>
    <t>F13-0008-0001</t>
  </si>
  <si>
    <t>32S/1x4 97%Cotton+3%70D Spandex Flat Knit Collar</t>
  </si>
  <si>
    <t>扁机領A色 Bo cổ màu A</t>
  </si>
  <si>
    <t>COCONUT椰白 TF-2254</t>
  </si>
  <si>
    <t>N/A</t>
  </si>
  <si>
    <t>PCS</t>
  </si>
  <si>
    <t>HKD</t>
  </si>
  <si>
    <t>SN26032603</t>
  </si>
  <si>
    <t>F13-0008</t>
  </si>
  <si>
    <t>H10-23318E3</t>
  </si>
  <si>
    <t>H10-23318E5</t>
  </si>
  <si>
    <t>H10-23318E7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</si>
</sst>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/mm/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53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3" fillId="2" borderId="1" xfId="1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wrapText="1"/>
    </xf>
    <xf numFmtId="49" fontId="3" fillId="2" borderId="1" xfId="1" applyNumberFormat="1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64" fontId="3" fillId="2" borderId="1" xfId="1" applyNumberFormat="1" applyFont="1" applyFill="1" applyBorder="1" applyAlignment="1">
      <alignment horizontal="center" wrapText="1"/>
    </xf>
    <xf numFmtId="2" fontId="5" fillId="3" borderId="1" xfId="3" applyNumberFormat="1" applyFont="1" applyFill="1" applyBorder="1" applyAlignment="1">
      <alignment horizontal="center" wrapText="1"/>
    </xf>
    <xf numFmtId="0" fontId="6" fillId="2" borderId="1" xfId="3" applyFont="1" applyFill="1" applyBorder="1" applyAlignment="1">
      <alignment horizontal="center" wrapText="1"/>
    </xf>
    <xf numFmtId="2" fontId="6" fillId="2" borderId="1" xfId="2" applyNumberFormat="1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 wrapText="1"/>
    </xf>
    <xf numFmtId="0" fontId="7" fillId="4" borderId="1" xfId="1" applyFont="1" applyFill="1" applyBorder="1" applyAlignment="1">
      <alignment horizontal="center" wrapText="1"/>
    </xf>
    <xf numFmtId="2" fontId="7" fillId="0" borderId="1" xfId="1" applyNumberFormat="1" applyFont="1" applyBorder="1" applyAlignment="1">
      <alignment horizontal="center" wrapText="1"/>
    </xf>
    <xf numFmtId="2" fontId="7" fillId="3" borderId="1" xfId="1" applyNumberFormat="1" applyFont="1" applyFill="1" applyBorder="1" applyAlignment="1">
      <alignment horizontal="center" wrapText="1"/>
    </xf>
    <xf numFmtId="2" fontId="6" fillId="2" borderId="1" xfId="3" applyNumberFormat="1" applyFont="1" applyFill="1" applyBorder="1" applyAlignment="1">
      <alignment horizontal="center" wrapText="1"/>
    </xf>
    <xf numFmtId="2" fontId="3" fillId="2" borderId="1" xfId="1" applyNumberFormat="1" applyFont="1" applyFill="1" applyBorder="1" applyAlignment="1">
      <alignment horizontal="center" wrapText="1"/>
    </xf>
    <xf numFmtId="1" fontId="4" fillId="4" borderId="1" xfId="1" applyNumberFormat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2" fontId="4" fillId="3" borderId="1" xfId="1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2" fontId="5" fillId="3" borderId="1" xfId="3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2" fontId="6" fillId="2" borderId="1" xfId="3" applyNumberFormat="1" applyFont="1" applyFill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165" fontId="9" fillId="4" borderId="1" xfId="0" applyNumberFormat="1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2" fontId="9" fillId="4" borderId="1" xfId="0" applyNumberFormat="1" applyFont="1" applyFill="1" applyBorder="1" applyAlignment="1">
      <alignment horizontal="center" wrapText="1"/>
    </xf>
    <xf numFmtId="1" fontId="9" fillId="4" borderId="1" xfId="0" applyNumberFormat="1" applyFont="1" applyFill="1" applyBorder="1" applyAlignment="1">
      <alignment horizontal="center" wrapText="1"/>
    </xf>
    <xf numFmtId="0" fontId="10" fillId="4" borderId="0" xfId="0" applyFont="1" applyFill="1"/>
    <xf numFmtId="0" fontId="0" fillId="4" borderId="0" xfId="0" applyFill="1"/>
  </cellXfs>
  <cellStyles count="4">
    <cellStyle name="Normal" xfId="0" builtinId="0"/>
    <cellStyle name="Normal 116" xfId="3" xr:uid="{80D93D63-571B-4F66-9357-0D4DBDD0B80D}"/>
    <cellStyle name="Normal 2" xfId="1" xr:uid="{2778B79E-0AEE-4A3D-90B5-D484E34187CD}"/>
    <cellStyle name="Normal 2 2" xfId="2" xr:uid="{52D68D66-2EF7-4588-A44F-C934AA2E06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2190-4BED-48AF-91BA-B21D4CF73721}">
  <sheetPr>
    <tabColor rgb="FF00B050"/>
  </sheetPr>
  <dimension ref="A1:AF15"/>
  <sheetViews>
    <sheetView tabSelected="1" workbookViewId="0">
      <pane ySplit="3" topLeftCell="A10" activePane="bottomLeft" state="frozen"/>
      <selection pane="bottomLeft" activeCell="A16" sqref="A16:XFD85"/>
    </sheetView>
  </sheetViews>
  <sheetFormatPr defaultRowHeight="15" x14ac:dyDescent="0.25"/>
  <cols>
    <col min="4" max="5" width="13.5703125" customWidth="1"/>
    <col min="6" max="6" width="7" customWidth="1"/>
    <col min="7" max="7" width="14.85546875" customWidth="1"/>
    <col min="8" max="8" width="29.28515625" customWidth="1"/>
    <col min="9" max="9" width="15.7109375" customWidth="1"/>
    <col min="10" max="10" width="26.5703125" customWidth="1"/>
    <col min="11" max="11" width="10.85546875" style="1" customWidth="1"/>
    <col min="13" max="14" width="11.42578125" customWidth="1"/>
    <col min="15" max="15" width="7.28515625" customWidth="1"/>
    <col min="16" max="16" width="7.5703125" customWidth="1"/>
    <col min="17" max="17" width="11.42578125" customWidth="1"/>
    <col min="18" max="18" width="7.28515625" customWidth="1"/>
    <col min="19" max="19" width="14.28515625" customWidth="1"/>
    <col min="21" max="21" width="9.140625" style="2"/>
    <col min="23" max="23" width="6.28515625" customWidth="1"/>
    <col min="25" max="25" width="12.85546875" customWidth="1"/>
    <col min="26" max="26" width="12" customWidth="1"/>
    <col min="27" max="27" width="13.85546875" customWidth="1"/>
    <col min="28" max="29" width="9.28515625" customWidth="1"/>
    <col min="31" max="31" width="6" customWidth="1"/>
  </cols>
  <sheetData>
    <row r="1" spans="1:32" ht="37.5" customHeight="1" x14ac:dyDescent="0.25">
      <c r="N1" s="2">
        <f>SUBTOTAL(9,N4:N263)</f>
        <v>2242</v>
      </c>
      <c r="U1" s="2">
        <f>SUBTOTAL(9,U4:U263)</f>
        <v>2242</v>
      </c>
      <c r="V1" s="2">
        <f>SUBTOTAL(9,V4:V263)</f>
        <v>2242</v>
      </c>
      <c r="AD1" s="2">
        <f>SUBTOTAL(9,AD4:AD263)</f>
        <v>2242</v>
      </c>
    </row>
    <row r="2" spans="1:32" ht="39.75" customHeight="1" x14ac:dyDescent="0.25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5</v>
      </c>
      <c r="G2" s="5" t="s">
        <v>6</v>
      </c>
      <c r="H2" s="5" t="s">
        <v>7</v>
      </c>
      <c r="I2" s="8" t="s">
        <v>8</v>
      </c>
      <c r="J2" s="9" t="s">
        <v>9</v>
      </c>
      <c r="K2" s="10" t="s">
        <v>10</v>
      </c>
      <c r="L2" s="5" t="s">
        <v>11</v>
      </c>
      <c r="M2" s="5" t="s">
        <v>12</v>
      </c>
      <c r="N2" s="11" t="s">
        <v>13</v>
      </c>
      <c r="O2" s="12" t="s">
        <v>14</v>
      </c>
      <c r="P2" s="13" t="s">
        <v>15</v>
      </c>
      <c r="Q2" s="13" t="s">
        <v>16</v>
      </c>
      <c r="R2" s="14" t="s">
        <v>17</v>
      </c>
      <c r="S2" s="15" t="s">
        <v>18</v>
      </c>
      <c r="T2" s="5" t="s">
        <v>19</v>
      </c>
      <c r="U2" s="16" t="s">
        <v>20</v>
      </c>
      <c r="V2" s="17" t="s">
        <v>21</v>
      </c>
      <c r="W2" s="18" t="s">
        <v>22</v>
      </c>
      <c r="X2" s="19" t="s">
        <v>23</v>
      </c>
      <c r="Y2" s="20" t="s">
        <v>24</v>
      </c>
      <c r="Z2" s="9" t="s">
        <v>25</v>
      </c>
      <c r="AA2" s="9" t="s">
        <v>26</v>
      </c>
      <c r="AB2" s="21" t="s">
        <v>27</v>
      </c>
      <c r="AC2" s="21" t="s">
        <v>28</v>
      </c>
      <c r="AD2" s="22" t="s">
        <v>29</v>
      </c>
      <c r="AE2" s="7" t="s">
        <v>30</v>
      </c>
      <c r="AF2" s="23"/>
    </row>
    <row r="3" spans="1:32" s="46" customFormat="1" ht="39.75" customHeight="1" x14ac:dyDescent="0.25">
      <c r="A3" s="24" t="s">
        <v>31</v>
      </c>
      <c r="B3" s="25" t="s">
        <v>32</v>
      </c>
      <c r="C3" s="26" t="s">
        <v>33</v>
      </c>
      <c r="D3" s="27" t="s">
        <v>34</v>
      </c>
      <c r="E3" s="26" t="s">
        <v>35</v>
      </c>
      <c r="F3" s="28" t="s">
        <v>36</v>
      </c>
      <c r="G3" s="26" t="s">
        <v>37</v>
      </c>
      <c r="H3" s="26" t="s">
        <v>38</v>
      </c>
      <c r="I3" s="29" t="s">
        <v>39</v>
      </c>
      <c r="J3" s="30" t="s">
        <v>40</v>
      </c>
      <c r="K3" s="31" t="s">
        <v>41</v>
      </c>
      <c r="L3" s="26" t="s">
        <v>42</v>
      </c>
      <c r="M3" s="26" t="s">
        <v>43</v>
      </c>
      <c r="N3" s="32" t="s">
        <v>44</v>
      </c>
      <c r="O3" s="33" t="s">
        <v>45</v>
      </c>
      <c r="P3" s="34" t="s">
        <v>46</v>
      </c>
      <c r="Q3" s="34" t="s">
        <v>47</v>
      </c>
      <c r="R3" s="35" t="s">
        <v>48</v>
      </c>
      <c r="S3" s="36" t="s">
        <v>49</v>
      </c>
      <c r="T3" s="26" t="s">
        <v>50</v>
      </c>
      <c r="U3" s="37" t="s">
        <v>51</v>
      </c>
      <c r="V3" s="38" t="s">
        <v>52</v>
      </c>
      <c r="W3" s="39" t="s">
        <v>53</v>
      </c>
      <c r="X3" s="40" t="s">
        <v>54</v>
      </c>
      <c r="Y3" s="41" t="s">
        <v>55</v>
      </c>
      <c r="Z3" s="30" t="s">
        <v>56</v>
      </c>
      <c r="AA3" s="30" t="s">
        <v>57</v>
      </c>
      <c r="AB3" s="42" t="s">
        <v>58</v>
      </c>
      <c r="AC3" s="43" t="s">
        <v>59</v>
      </c>
      <c r="AD3" s="44" t="s">
        <v>60</v>
      </c>
      <c r="AE3" s="28" t="s">
        <v>61</v>
      </c>
      <c r="AF3" s="45"/>
    </row>
    <row r="4" spans="1:32" s="52" customFormat="1" ht="28.5" customHeight="1" x14ac:dyDescent="0.25">
      <c r="A4" s="47">
        <v>46164</v>
      </c>
      <c r="B4" s="48" t="s">
        <v>62</v>
      </c>
      <c r="C4" s="48" t="s">
        <v>63</v>
      </c>
      <c r="D4" s="48" t="s">
        <v>64</v>
      </c>
      <c r="E4" s="48" t="s">
        <v>65</v>
      </c>
      <c r="F4" s="48">
        <v>628</v>
      </c>
      <c r="G4" s="48" t="s">
        <v>66</v>
      </c>
      <c r="H4" s="48" t="s">
        <v>67</v>
      </c>
      <c r="I4" s="48" t="s">
        <v>68</v>
      </c>
      <c r="J4" s="48" t="s">
        <v>69</v>
      </c>
      <c r="K4" s="49">
        <v>8.5</v>
      </c>
      <c r="L4" s="48" t="s">
        <v>70</v>
      </c>
      <c r="M4" s="49">
        <v>46</v>
      </c>
      <c r="N4" s="49">
        <f>U4</f>
        <v>130</v>
      </c>
      <c r="O4" s="49" t="s">
        <v>71</v>
      </c>
      <c r="P4" s="49">
        <v>2.75</v>
      </c>
      <c r="Q4" s="49">
        <f>P4*V4</f>
        <v>357.5</v>
      </c>
      <c r="R4" s="48" t="s">
        <v>72</v>
      </c>
      <c r="S4" s="48" t="s">
        <v>73</v>
      </c>
      <c r="T4" s="48">
        <v>1</v>
      </c>
      <c r="U4" s="49">
        <v>130</v>
      </c>
      <c r="V4" s="49">
        <f>U4</f>
        <v>130</v>
      </c>
      <c r="W4" s="49" t="s">
        <v>71</v>
      </c>
      <c r="X4" s="49">
        <f>V4-U4</f>
        <v>0</v>
      </c>
      <c r="Y4" s="50">
        <v>108264074920</v>
      </c>
      <c r="Z4" s="50">
        <v>260520</v>
      </c>
      <c r="AA4" s="50">
        <v>202616400</v>
      </c>
      <c r="AB4" s="48" t="s">
        <v>74</v>
      </c>
      <c r="AC4" s="48" t="s">
        <v>74</v>
      </c>
      <c r="AD4" s="49">
        <f>V4</f>
        <v>130</v>
      </c>
      <c r="AE4" s="49" t="s">
        <v>71</v>
      </c>
      <c r="AF4" s="51"/>
    </row>
    <row r="5" spans="1:32" s="52" customFormat="1" ht="28.5" customHeight="1" x14ac:dyDescent="0.25">
      <c r="A5" s="47">
        <v>46164</v>
      </c>
      <c r="B5" s="48" t="s">
        <v>62</v>
      </c>
      <c r="C5" s="48" t="s">
        <v>63</v>
      </c>
      <c r="D5" s="48" t="s">
        <v>75</v>
      </c>
      <c r="E5" s="48" t="s">
        <v>65</v>
      </c>
      <c r="F5" s="48">
        <v>628</v>
      </c>
      <c r="G5" s="48" t="s">
        <v>66</v>
      </c>
      <c r="H5" s="48" t="s">
        <v>67</v>
      </c>
      <c r="I5" s="48" t="s">
        <v>68</v>
      </c>
      <c r="J5" s="48" t="s">
        <v>69</v>
      </c>
      <c r="K5" s="49">
        <v>8.5</v>
      </c>
      <c r="L5" s="48" t="s">
        <v>70</v>
      </c>
      <c r="M5" s="49">
        <v>46</v>
      </c>
      <c r="N5" s="49">
        <f>U5</f>
        <v>270</v>
      </c>
      <c r="O5" s="49" t="s">
        <v>71</v>
      </c>
      <c r="P5" s="49">
        <v>2.75</v>
      </c>
      <c r="Q5" s="49">
        <f>P5*V5</f>
        <v>742.5</v>
      </c>
      <c r="R5" s="48" t="s">
        <v>72</v>
      </c>
      <c r="S5" s="48" t="s">
        <v>73</v>
      </c>
      <c r="T5" s="48">
        <v>1</v>
      </c>
      <c r="U5" s="49">
        <v>270</v>
      </c>
      <c r="V5" s="49">
        <f>U5</f>
        <v>270</v>
      </c>
      <c r="W5" s="49" t="s">
        <v>71</v>
      </c>
      <c r="X5" s="49">
        <f>V5-U5</f>
        <v>0</v>
      </c>
      <c r="Y5" s="50">
        <v>108264074920</v>
      </c>
      <c r="Z5" s="50">
        <v>260520</v>
      </c>
      <c r="AA5" s="50">
        <v>202616400</v>
      </c>
      <c r="AB5" s="48" t="s">
        <v>74</v>
      </c>
      <c r="AC5" s="48" t="s">
        <v>74</v>
      </c>
      <c r="AD5" s="49">
        <f>V5</f>
        <v>270</v>
      </c>
      <c r="AE5" s="49" t="s">
        <v>71</v>
      </c>
      <c r="AF5" s="51"/>
    </row>
    <row r="6" spans="1:32" s="52" customFormat="1" ht="28.5" customHeight="1" x14ac:dyDescent="0.25">
      <c r="A6" s="47">
        <v>46164</v>
      </c>
      <c r="B6" s="48" t="s">
        <v>62</v>
      </c>
      <c r="C6" s="48" t="s">
        <v>63</v>
      </c>
      <c r="D6" s="48" t="s">
        <v>75</v>
      </c>
      <c r="E6" s="48" t="s">
        <v>65</v>
      </c>
      <c r="F6" s="48">
        <v>628</v>
      </c>
      <c r="G6" s="48" t="s">
        <v>66</v>
      </c>
      <c r="H6" s="48" t="s">
        <v>67</v>
      </c>
      <c r="I6" s="48" t="s">
        <v>68</v>
      </c>
      <c r="J6" s="48" t="s">
        <v>69</v>
      </c>
      <c r="K6" s="49">
        <v>8.5</v>
      </c>
      <c r="L6" s="48" t="s">
        <v>70</v>
      </c>
      <c r="M6" s="49">
        <v>46</v>
      </c>
      <c r="N6" s="49">
        <f t="shared" ref="N6:N15" si="0">U6</f>
        <v>121</v>
      </c>
      <c r="O6" s="49" t="s">
        <v>71</v>
      </c>
      <c r="P6" s="49">
        <v>2.75</v>
      </c>
      <c r="Q6" s="49">
        <f t="shared" ref="Q6:Q15" si="1">P6*V6</f>
        <v>332.75</v>
      </c>
      <c r="R6" s="48" t="s">
        <v>72</v>
      </c>
      <c r="S6" s="48" t="s">
        <v>73</v>
      </c>
      <c r="T6" s="48">
        <v>2</v>
      </c>
      <c r="U6" s="49">
        <v>121</v>
      </c>
      <c r="V6" s="49">
        <f t="shared" ref="V6:V15" si="2">U6</f>
        <v>121</v>
      </c>
      <c r="W6" s="49" t="s">
        <v>71</v>
      </c>
      <c r="X6" s="49">
        <f t="shared" ref="X6:X15" si="3">V6-U6</f>
        <v>0</v>
      </c>
      <c r="Y6" s="50">
        <v>108264074920</v>
      </c>
      <c r="Z6" s="50">
        <v>260520</v>
      </c>
      <c r="AA6" s="50">
        <v>202616400</v>
      </c>
      <c r="AB6" s="48" t="s">
        <v>74</v>
      </c>
      <c r="AC6" s="48" t="s">
        <v>74</v>
      </c>
      <c r="AD6" s="49">
        <f t="shared" ref="AD6:AD15" si="4">V6</f>
        <v>121</v>
      </c>
      <c r="AE6" s="49" t="s">
        <v>71</v>
      </c>
      <c r="AF6" s="51"/>
    </row>
    <row r="7" spans="1:32" s="52" customFormat="1" ht="28.5" customHeight="1" x14ac:dyDescent="0.25">
      <c r="A7" s="47">
        <v>46164</v>
      </c>
      <c r="B7" s="48" t="s">
        <v>62</v>
      </c>
      <c r="C7" s="48" t="s">
        <v>63</v>
      </c>
      <c r="D7" s="48" t="s">
        <v>76</v>
      </c>
      <c r="E7" s="48" t="s">
        <v>65</v>
      </c>
      <c r="F7" s="48">
        <v>628</v>
      </c>
      <c r="G7" s="48" t="s">
        <v>66</v>
      </c>
      <c r="H7" s="48" t="s">
        <v>67</v>
      </c>
      <c r="I7" s="48" t="s">
        <v>68</v>
      </c>
      <c r="J7" s="48" t="s">
        <v>69</v>
      </c>
      <c r="K7" s="49">
        <v>8.5</v>
      </c>
      <c r="L7" s="48" t="s">
        <v>70</v>
      </c>
      <c r="M7" s="49">
        <v>46</v>
      </c>
      <c r="N7" s="49">
        <f t="shared" si="0"/>
        <v>229</v>
      </c>
      <c r="O7" s="49" t="s">
        <v>71</v>
      </c>
      <c r="P7" s="49">
        <v>2.75</v>
      </c>
      <c r="Q7" s="49">
        <f t="shared" si="1"/>
        <v>629.75</v>
      </c>
      <c r="R7" s="48" t="s">
        <v>72</v>
      </c>
      <c r="S7" s="48" t="s">
        <v>73</v>
      </c>
      <c r="T7" s="48">
        <v>2</v>
      </c>
      <c r="U7" s="49">
        <v>229</v>
      </c>
      <c r="V7" s="49">
        <f t="shared" si="2"/>
        <v>229</v>
      </c>
      <c r="W7" s="49" t="s">
        <v>71</v>
      </c>
      <c r="X7" s="49">
        <f t="shared" si="3"/>
        <v>0</v>
      </c>
      <c r="Y7" s="50">
        <v>108264074920</v>
      </c>
      <c r="Z7" s="50">
        <v>260520</v>
      </c>
      <c r="AA7" s="50">
        <v>202616400</v>
      </c>
      <c r="AB7" s="48" t="s">
        <v>74</v>
      </c>
      <c r="AC7" s="48" t="s">
        <v>74</v>
      </c>
      <c r="AD7" s="49">
        <f t="shared" si="4"/>
        <v>229</v>
      </c>
      <c r="AE7" s="49" t="s">
        <v>71</v>
      </c>
      <c r="AF7" s="51"/>
    </row>
    <row r="8" spans="1:32" s="52" customFormat="1" ht="28.5" customHeight="1" x14ac:dyDescent="0.25">
      <c r="A8" s="47">
        <v>46164</v>
      </c>
      <c r="B8" s="48" t="s">
        <v>62</v>
      </c>
      <c r="C8" s="48" t="s">
        <v>63</v>
      </c>
      <c r="D8" s="48" t="s">
        <v>75</v>
      </c>
      <c r="E8" s="48" t="s">
        <v>65</v>
      </c>
      <c r="F8" s="48">
        <v>628</v>
      </c>
      <c r="G8" s="48" t="s">
        <v>66</v>
      </c>
      <c r="H8" s="48" t="s">
        <v>67</v>
      </c>
      <c r="I8" s="48" t="s">
        <v>68</v>
      </c>
      <c r="J8" s="48" t="s">
        <v>69</v>
      </c>
      <c r="K8" s="49">
        <v>8.5</v>
      </c>
      <c r="L8" s="48" t="s">
        <v>70</v>
      </c>
      <c r="M8" s="49">
        <v>45</v>
      </c>
      <c r="N8" s="49">
        <f t="shared" si="0"/>
        <v>43</v>
      </c>
      <c r="O8" s="49" t="s">
        <v>71</v>
      </c>
      <c r="P8" s="49">
        <v>2.75</v>
      </c>
      <c r="Q8" s="49">
        <f t="shared" si="1"/>
        <v>118.25</v>
      </c>
      <c r="R8" s="48" t="s">
        <v>72</v>
      </c>
      <c r="S8" s="48" t="s">
        <v>73</v>
      </c>
      <c r="T8" s="48">
        <v>4</v>
      </c>
      <c r="U8" s="49">
        <v>43</v>
      </c>
      <c r="V8" s="49">
        <f t="shared" si="2"/>
        <v>43</v>
      </c>
      <c r="W8" s="49" t="s">
        <v>71</v>
      </c>
      <c r="X8" s="49">
        <f t="shared" si="3"/>
        <v>0</v>
      </c>
      <c r="Y8" s="50">
        <v>108264074920</v>
      </c>
      <c r="Z8" s="50">
        <v>260520</v>
      </c>
      <c r="AA8" s="50">
        <v>202616400</v>
      </c>
      <c r="AB8" s="48" t="s">
        <v>74</v>
      </c>
      <c r="AC8" s="48" t="s">
        <v>74</v>
      </c>
      <c r="AD8" s="49">
        <f t="shared" si="4"/>
        <v>43</v>
      </c>
      <c r="AE8" s="49" t="s">
        <v>71</v>
      </c>
      <c r="AF8" s="51"/>
    </row>
    <row r="9" spans="1:32" s="52" customFormat="1" ht="28.5" customHeight="1" x14ac:dyDescent="0.25">
      <c r="A9" s="47">
        <v>46164</v>
      </c>
      <c r="B9" s="48" t="s">
        <v>62</v>
      </c>
      <c r="C9" s="48" t="s">
        <v>63</v>
      </c>
      <c r="D9" s="48" t="s">
        <v>76</v>
      </c>
      <c r="E9" s="48" t="s">
        <v>65</v>
      </c>
      <c r="F9" s="48">
        <v>628</v>
      </c>
      <c r="G9" s="48" t="s">
        <v>66</v>
      </c>
      <c r="H9" s="48" t="s">
        <v>67</v>
      </c>
      <c r="I9" s="48" t="s">
        <v>68</v>
      </c>
      <c r="J9" s="48" t="s">
        <v>69</v>
      </c>
      <c r="K9" s="49">
        <v>8.5</v>
      </c>
      <c r="L9" s="48" t="s">
        <v>70</v>
      </c>
      <c r="M9" s="49">
        <v>45</v>
      </c>
      <c r="N9" s="49">
        <f t="shared" si="0"/>
        <v>457</v>
      </c>
      <c r="O9" s="49" t="s">
        <v>71</v>
      </c>
      <c r="P9" s="49">
        <v>2.75</v>
      </c>
      <c r="Q9" s="49">
        <f t="shared" si="1"/>
        <v>1256.75</v>
      </c>
      <c r="R9" s="48" t="s">
        <v>72</v>
      </c>
      <c r="S9" s="48" t="s">
        <v>73</v>
      </c>
      <c r="T9" s="48">
        <v>4</v>
      </c>
      <c r="U9" s="49">
        <f>500-U8</f>
        <v>457</v>
      </c>
      <c r="V9" s="49">
        <f t="shared" si="2"/>
        <v>457</v>
      </c>
      <c r="W9" s="49" t="s">
        <v>71</v>
      </c>
      <c r="X9" s="49">
        <f t="shared" si="3"/>
        <v>0</v>
      </c>
      <c r="Y9" s="50">
        <v>108264074920</v>
      </c>
      <c r="Z9" s="50">
        <v>260520</v>
      </c>
      <c r="AA9" s="50">
        <v>202616400</v>
      </c>
      <c r="AB9" s="48" t="s">
        <v>74</v>
      </c>
      <c r="AC9" s="48" t="s">
        <v>74</v>
      </c>
      <c r="AD9" s="49">
        <f t="shared" si="4"/>
        <v>457</v>
      </c>
      <c r="AE9" s="49" t="s">
        <v>71</v>
      </c>
      <c r="AF9" s="51"/>
    </row>
    <row r="10" spans="1:32" s="52" customFormat="1" ht="28.5" customHeight="1" x14ac:dyDescent="0.25">
      <c r="A10" s="47">
        <v>46164</v>
      </c>
      <c r="B10" s="48" t="s">
        <v>62</v>
      </c>
      <c r="C10" s="48" t="s">
        <v>63</v>
      </c>
      <c r="D10" s="48" t="s">
        <v>76</v>
      </c>
      <c r="E10" s="48" t="s">
        <v>65</v>
      </c>
      <c r="F10" s="48">
        <v>628</v>
      </c>
      <c r="G10" s="48" t="s">
        <v>66</v>
      </c>
      <c r="H10" s="48" t="s">
        <v>67</v>
      </c>
      <c r="I10" s="48" t="s">
        <v>68</v>
      </c>
      <c r="J10" s="48" t="s">
        <v>69</v>
      </c>
      <c r="K10" s="49">
        <v>8.5</v>
      </c>
      <c r="L10" s="48" t="s">
        <v>70</v>
      </c>
      <c r="M10" s="49">
        <v>44</v>
      </c>
      <c r="N10" s="49">
        <f t="shared" si="0"/>
        <v>283</v>
      </c>
      <c r="O10" s="49" t="s">
        <v>71</v>
      </c>
      <c r="P10" s="49">
        <v>2.75</v>
      </c>
      <c r="Q10" s="49">
        <f t="shared" si="1"/>
        <v>778.25</v>
      </c>
      <c r="R10" s="48" t="s">
        <v>72</v>
      </c>
      <c r="S10" s="48" t="s">
        <v>73</v>
      </c>
      <c r="T10" s="48">
        <v>5</v>
      </c>
      <c r="U10" s="49">
        <v>283</v>
      </c>
      <c r="V10" s="49">
        <f t="shared" si="2"/>
        <v>283</v>
      </c>
      <c r="W10" s="49" t="s">
        <v>71</v>
      </c>
      <c r="X10" s="49">
        <f t="shared" si="3"/>
        <v>0</v>
      </c>
      <c r="Y10" s="50">
        <v>108264074920</v>
      </c>
      <c r="Z10" s="50">
        <v>260520</v>
      </c>
      <c r="AA10" s="50">
        <v>202616400</v>
      </c>
      <c r="AB10" s="48" t="s">
        <v>74</v>
      </c>
      <c r="AC10" s="48" t="s">
        <v>74</v>
      </c>
      <c r="AD10" s="49">
        <f t="shared" si="4"/>
        <v>283</v>
      </c>
      <c r="AE10" s="49" t="s">
        <v>71</v>
      </c>
      <c r="AF10" s="51"/>
    </row>
    <row r="11" spans="1:32" s="52" customFormat="1" ht="28.5" customHeight="1" x14ac:dyDescent="0.25">
      <c r="A11" s="47">
        <v>46164</v>
      </c>
      <c r="B11" s="48" t="s">
        <v>62</v>
      </c>
      <c r="C11" s="48" t="s">
        <v>63</v>
      </c>
      <c r="D11" s="48" t="s">
        <v>77</v>
      </c>
      <c r="E11" s="48" t="s">
        <v>65</v>
      </c>
      <c r="F11" s="48">
        <v>628</v>
      </c>
      <c r="G11" s="48" t="s">
        <v>66</v>
      </c>
      <c r="H11" s="48" t="s">
        <v>67</v>
      </c>
      <c r="I11" s="48" t="s">
        <v>68</v>
      </c>
      <c r="J11" s="48" t="s">
        <v>69</v>
      </c>
      <c r="K11" s="49">
        <v>8.5</v>
      </c>
      <c r="L11" s="48" t="s">
        <v>70</v>
      </c>
      <c r="M11" s="49">
        <v>44</v>
      </c>
      <c r="N11" s="49">
        <f t="shared" si="0"/>
        <v>117</v>
      </c>
      <c r="O11" s="49" t="s">
        <v>71</v>
      </c>
      <c r="P11" s="49">
        <v>2.75</v>
      </c>
      <c r="Q11" s="49">
        <f t="shared" si="1"/>
        <v>321.75</v>
      </c>
      <c r="R11" s="48" t="s">
        <v>72</v>
      </c>
      <c r="S11" s="48" t="s">
        <v>73</v>
      </c>
      <c r="T11" s="48">
        <v>5</v>
      </c>
      <c r="U11" s="49">
        <v>117</v>
      </c>
      <c r="V11" s="49">
        <f t="shared" si="2"/>
        <v>117</v>
      </c>
      <c r="W11" s="49" t="s">
        <v>71</v>
      </c>
      <c r="X11" s="49">
        <f t="shared" si="3"/>
        <v>0</v>
      </c>
      <c r="Y11" s="50">
        <v>108264074920</v>
      </c>
      <c r="Z11" s="50">
        <v>260520</v>
      </c>
      <c r="AA11" s="50">
        <v>202616400</v>
      </c>
      <c r="AB11" s="48" t="s">
        <v>74</v>
      </c>
      <c r="AC11" s="48" t="s">
        <v>74</v>
      </c>
      <c r="AD11" s="49">
        <f t="shared" si="4"/>
        <v>117</v>
      </c>
      <c r="AE11" s="49" t="s">
        <v>71</v>
      </c>
      <c r="AF11" s="51"/>
    </row>
    <row r="12" spans="1:32" s="52" customFormat="1" ht="28.5" customHeight="1" x14ac:dyDescent="0.25">
      <c r="A12" s="47">
        <v>46164</v>
      </c>
      <c r="B12" s="48" t="s">
        <v>62</v>
      </c>
      <c r="C12" s="48" t="s">
        <v>63</v>
      </c>
      <c r="D12" s="48" t="s">
        <v>77</v>
      </c>
      <c r="E12" s="48" t="s">
        <v>65</v>
      </c>
      <c r="F12" s="48">
        <v>628</v>
      </c>
      <c r="G12" s="48" t="s">
        <v>66</v>
      </c>
      <c r="H12" s="48" t="s">
        <v>67</v>
      </c>
      <c r="I12" s="48" t="s">
        <v>68</v>
      </c>
      <c r="J12" s="48" t="s">
        <v>69</v>
      </c>
      <c r="K12" s="49">
        <v>8.5</v>
      </c>
      <c r="L12" s="48" t="s">
        <v>70</v>
      </c>
      <c r="M12" s="49">
        <v>44</v>
      </c>
      <c r="N12" s="49">
        <f t="shared" si="0"/>
        <v>235</v>
      </c>
      <c r="O12" s="49" t="s">
        <v>71</v>
      </c>
      <c r="P12" s="49">
        <v>2.75</v>
      </c>
      <c r="Q12" s="49">
        <f t="shared" si="1"/>
        <v>646.25</v>
      </c>
      <c r="R12" s="48" t="s">
        <v>72</v>
      </c>
      <c r="S12" s="48" t="s">
        <v>73</v>
      </c>
      <c r="T12" s="48">
        <v>6</v>
      </c>
      <c r="U12" s="49">
        <v>235</v>
      </c>
      <c r="V12" s="49">
        <f t="shared" si="2"/>
        <v>235</v>
      </c>
      <c r="W12" s="49" t="s">
        <v>71</v>
      </c>
      <c r="X12" s="49">
        <f t="shared" si="3"/>
        <v>0</v>
      </c>
      <c r="Y12" s="50">
        <v>108264074920</v>
      </c>
      <c r="Z12" s="50">
        <v>260520</v>
      </c>
      <c r="AA12" s="50">
        <v>202616400</v>
      </c>
      <c r="AB12" s="48" t="s">
        <v>74</v>
      </c>
      <c r="AC12" s="48" t="s">
        <v>74</v>
      </c>
      <c r="AD12" s="49">
        <f t="shared" si="4"/>
        <v>235</v>
      </c>
      <c r="AE12" s="49" t="s">
        <v>71</v>
      </c>
      <c r="AF12" s="51"/>
    </row>
    <row r="13" spans="1:32" s="52" customFormat="1" ht="28.5" customHeight="1" x14ac:dyDescent="0.25">
      <c r="A13" s="47">
        <v>46164</v>
      </c>
      <c r="B13" s="48" t="s">
        <v>62</v>
      </c>
      <c r="C13" s="48" t="s">
        <v>63</v>
      </c>
      <c r="D13" s="48" t="s">
        <v>75</v>
      </c>
      <c r="E13" s="48" t="s">
        <v>65</v>
      </c>
      <c r="F13" s="48">
        <v>628</v>
      </c>
      <c r="G13" s="48" t="s">
        <v>66</v>
      </c>
      <c r="H13" s="48" t="s">
        <v>67</v>
      </c>
      <c r="I13" s="48" t="s">
        <v>68</v>
      </c>
      <c r="J13" s="48" t="s">
        <v>69</v>
      </c>
      <c r="K13" s="49">
        <v>8.5</v>
      </c>
      <c r="L13" s="48" t="s">
        <v>70</v>
      </c>
      <c r="M13" s="49">
        <v>43</v>
      </c>
      <c r="N13" s="49">
        <f t="shared" si="0"/>
        <v>30</v>
      </c>
      <c r="O13" s="49" t="s">
        <v>71</v>
      </c>
      <c r="P13" s="49">
        <v>2.75</v>
      </c>
      <c r="Q13" s="49">
        <f t="shared" si="1"/>
        <v>82.5</v>
      </c>
      <c r="R13" s="48" t="s">
        <v>72</v>
      </c>
      <c r="S13" s="48" t="s">
        <v>73</v>
      </c>
      <c r="T13" s="48">
        <v>7</v>
      </c>
      <c r="U13" s="49">
        <v>30</v>
      </c>
      <c r="V13" s="49">
        <f t="shared" si="2"/>
        <v>30</v>
      </c>
      <c r="W13" s="49" t="s">
        <v>71</v>
      </c>
      <c r="X13" s="49">
        <f t="shared" si="3"/>
        <v>0</v>
      </c>
      <c r="Y13" s="50">
        <v>108264074920</v>
      </c>
      <c r="Z13" s="50">
        <v>260520</v>
      </c>
      <c r="AA13" s="50">
        <v>202616400</v>
      </c>
      <c r="AB13" s="48" t="s">
        <v>74</v>
      </c>
      <c r="AC13" s="48" t="s">
        <v>74</v>
      </c>
      <c r="AD13" s="49">
        <f t="shared" si="4"/>
        <v>30</v>
      </c>
      <c r="AE13" s="49" t="s">
        <v>71</v>
      </c>
      <c r="AF13" s="51"/>
    </row>
    <row r="14" spans="1:32" s="52" customFormat="1" ht="28.5" customHeight="1" x14ac:dyDescent="0.25">
      <c r="A14" s="47">
        <v>46164</v>
      </c>
      <c r="B14" s="48" t="s">
        <v>62</v>
      </c>
      <c r="C14" s="48" t="s">
        <v>63</v>
      </c>
      <c r="D14" s="48" t="s">
        <v>76</v>
      </c>
      <c r="E14" s="48" t="s">
        <v>65</v>
      </c>
      <c r="F14" s="48">
        <v>628</v>
      </c>
      <c r="G14" s="48" t="s">
        <v>66</v>
      </c>
      <c r="H14" s="48" t="s">
        <v>67</v>
      </c>
      <c r="I14" s="48" t="s">
        <v>68</v>
      </c>
      <c r="J14" s="48" t="s">
        <v>69</v>
      </c>
      <c r="K14" s="49">
        <v>8.5</v>
      </c>
      <c r="L14" s="48" t="s">
        <v>70</v>
      </c>
      <c r="M14" s="49">
        <v>43</v>
      </c>
      <c r="N14" s="49">
        <f t="shared" si="0"/>
        <v>287</v>
      </c>
      <c r="O14" s="49" t="s">
        <v>71</v>
      </c>
      <c r="P14" s="49">
        <v>2.75</v>
      </c>
      <c r="Q14" s="49">
        <f t="shared" si="1"/>
        <v>789.25</v>
      </c>
      <c r="R14" s="48" t="s">
        <v>72</v>
      </c>
      <c r="S14" s="48" t="s">
        <v>73</v>
      </c>
      <c r="T14" s="48">
        <v>7</v>
      </c>
      <c r="U14" s="49">
        <v>287</v>
      </c>
      <c r="V14" s="49">
        <f t="shared" si="2"/>
        <v>287</v>
      </c>
      <c r="W14" s="49" t="s">
        <v>71</v>
      </c>
      <c r="X14" s="49">
        <f t="shared" si="3"/>
        <v>0</v>
      </c>
      <c r="Y14" s="50">
        <v>108264074920</v>
      </c>
      <c r="Z14" s="50">
        <v>260520</v>
      </c>
      <c r="AA14" s="50">
        <v>202616400</v>
      </c>
      <c r="AB14" s="48" t="s">
        <v>74</v>
      </c>
      <c r="AC14" s="48" t="s">
        <v>74</v>
      </c>
      <c r="AD14" s="49">
        <f t="shared" si="4"/>
        <v>287</v>
      </c>
      <c r="AE14" s="49" t="s">
        <v>71</v>
      </c>
      <c r="AF14" s="51"/>
    </row>
    <row r="15" spans="1:32" s="52" customFormat="1" ht="28.5" customHeight="1" x14ac:dyDescent="0.25">
      <c r="A15" s="47">
        <v>46164</v>
      </c>
      <c r="B15" s="48" t="s">
        <v>62</v>
      </c>
      <c r="C15" s="48" t="s">
        <v>63</v>
      </c>
      <c r="D15" s="48" t="s">
        <v>77</v>
      </c>
      <c r="E15" s="48" t="s">
        <v>65</v>
      </c>
      <c r="F15" s="48">
        <v>628</v>
      </c>
      <c r="G15" s="48" t="s">
        <v>66</v>
      </c>
      <c r="H15" s="48" t="s">
        <v>67</v>
      </c>
      <c r="I15" s="48" t="s">
        <v>68</v>
      </c>
      <c r="J15" s="48" t="s">
        <v>69</v>
      </c>
      <c r="K15" s="49">
        <v>8.5</v>
      </c>
      <c r="L15" s="48" t="s">
        <v>70</v>
      </c>
      <c r="M15" s="49">
        <v>43</v>
      </c>
      <c r="N15" s="49">
        <f t="shared" si="0"/>
        <v>40</v>
      </c>
      <c r="O15" s="49" t="s">
        <v>71</v>
      </c>
      <c r="P15" s="49">
        <v>2.75</v>
      </c>
      <c r="Q15" s="49">
        <f t="shared" si="1"/>
        <v>110</v>
      </c>
      <c r="R15" s="48" t="s">
        <v>72</v>
      </c>
      <c r="S15" s="48" t="s">
        <v>73</v>
      </c>
      <c r="T15" s="48">
        <v>7</v>
      </c>
      <c r="U15" s="49">
        <v>40</v>
      </c>
      <c r="V15" s="49">
        <f t="shared" si="2"/>
        <v>40</v>
      </c>
      <c r="W15" s="49" t="s">
        <v>71</v>
      </c>
      <c r="X15" s="49">
        <f t="shared" si="3"/>
        <v>0</v>
      </c>
      <c r="Y15" s="50">
        <v>108264074920</v>
      </c>
      <c r="Z15" s="50">
        <v>260520</v>
      </c>
      <c r="AA15" s="50">
        <v>202616400</v>
      </c>
      <c r="AB15" s="48" t="s">
        <v>74</v>
      </c>
      <c r="AC15" s="48" t="s">
        <v>74</v>
      </c>
      <c r="AD15" s="49">
        <f t="shared" si="4"/>
        <v>40</v>
      </c>
      <c r="AE15" s="49" t="s">
        <v>71</v>
      </c>
      <c r="AF15" s="51"/>
    </row>
  </sheetData>
  <autoFilter ref="A3:AG15" xr:uid="{D1E31A17-6762-4234-B5E3-525FC5BBC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2026-06-11T06:10:33Z</dcterms:created>
  <dcterms:modified xsi:type="dcterms:W3CDTF">2026-06-11T06:11:03Z</dcterms:modified>
</cp:coreProperties>
</file>